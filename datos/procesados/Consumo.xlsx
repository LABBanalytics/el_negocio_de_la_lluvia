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analista_incomodo.1\datos\procesados\"/>
    </mc:Choice>
  </mc:AlternateContent>
  <xr:revisionPtr revIDLastSave="0" documentId="13_ncr:1_{3870C6D9-5060-41A3-8191-D0CD2FB63D08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2" i="1"/>
  <c r="J3" i="1"/>
  <c r="J4" i="1"/>
  <c r="J5" i="1"/>
  <c r="J6" i="1"/>
  <c r="J7" i="1"/>
  <c r="J8" i="1"/>
  <c r="J2" i="1"/>
  <c r="I3" i="1"/>
  <c r="I4" i="1"/>
  <c r="I5" i="1"/>
  <c r="I6" i="1"/>
  <c r="I7" i="1"/>
  <c r="I8" i="1"/>
  <c r="I2" i="1"/>
  <c r="E3" i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<sst xmlns="http://schemas.openxmlformats.org/spreadsheetml/2006/main" count="41" uniqueCount="30">
  <si>
    <t>17 de junio de 2025</t>
  </si>
  <si>
    <t>18 de junio de 2025</t>
  </si>
  <si>
    <t>19 de junio de 2025</t>
  </si>
  <si>
    <t>20 de junio de 2025</t>
  </si>
  <si>
    <t>24 de junio de 2025</t>
  </si>
  <si>
    <t>28 de junio de 2025</t>
  </si>
  <si>
    <t>28 de abril de 2026</t>
  </si>
  <si>
    <t>Fecha</t>
  </si>
  <si>
    <t>Asistencia</t>
  </si>
  <si>
    <t>Partido</t>
  </si>
  <si>
    <t>Ulsan vs Mamelodi Sundowns</t>
  </si>
  <si>
    <t>Pachuca vs Salzburgo</t>
  </si>
  <si>
    <t>Palmeiras vs Al-Ahly</t>
  </si>
  <si>
    <t>Benfica vs Auckland City</t>
  </si>
  <si>
    <t>Boca Juniors vs Auckland City</t>
  </si>
  <si>
    <t>Benfica vs Chelsea</t>
  </si>
  <si>
    <r>
      <t>Nashville vs Tigres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(Concachampions)</t>
    </r>
  </si>
  <si>
    <t>Minutos de parada</t>
  </si>
  <si>
    <t>Duracion</t>
  </si>
  <si>
    <t>Gasto_conservador/usd</t>
  </si>
  <si>
    <t>Gasto_medio/usd</t>
  </si>
  <si>
    <t>Gastos_alto/usd</t>
  </si>
  <si>
    <t>Ingreso_conservador</t>
  </si>
  <si>
    <t>ingreso_medio</t>
  </si>
  <si>
    <t>Ingreso_alto</t>
  </si>
  <si>
    <t>Operador</t>
  </si>
  <si>
    <t>Fuente_gasto</t>
  </si>
  <si>
    <t>Levy</t>
  </si>
  <si>
    <t>Delaware North</t>
  </si>
  <si>
    <t>Forbes / FIFA Industry Benchmark — Fan spending premium events USA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</si>
</sst>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44" fontId="0" fillId="0" borderId="0" xfId="1" applyFont="1"/>
    <xf numFmtId="164" fontId="0" fillId="0" borderId="0" xfId="0" applyNumberFormat="1"/>
    <xf numFmtId="1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L1" sqref="L1:L1048576"/>
    </sheetView>
  </sheetViews>
  <sheetFormatPr baseColWidth="10" defaultColWidth="9.140625" defaultRowHeight="15" x14ac:dyDescent="0.25"/>
  <cols>
    <col min="1" max="1" width="18" style="3" bestFit="1" customWidth="1"/>
    <col min="2" max="2" width="35" bestFit="1" customWidth="1"/>
    <col min="3" max="3" width="10" style="4" bestFit="1" customWidth="1"/>
    <col min="4" max="4" width="17.5703125" style="4" bestFit="1" customWidth="1"/>
    <col min="5" max="5" width="12" style="1" bestFit="1" customWidth="1"/>
    <col min="6" max="6" width="22.140625" style="2" bestFit="1" customWidth="1"/>
    <col min="7" max="7" width="16.85546875" style="2" bestFit="1" customWidth="1"/>
    <col min="8" max="8" width="15.28515625" style="2" bestFit="1" customWidth="1"/>
    <col min="9" max="9" width="19.7109375" style="2" bestFit="1" customWidth="1"/>
    <col min="10" max="10" width="14.42578125" style="2" bestFit="1" customWidth="1"/>
    <col min="11" max="11" width="14.140625" style="2" bestFit="1" customWidth="1"/>
    <col min="12" max="12" width="15" bestFit="1" customWidth="1"/>
    <col min="13" max="13" width="70.140625" bestFit="1" customWidth="1"/>
  </cols>
  <sheetData>
    <row r="1" spans="1:13" x14ac:dyDescent="0.25">
      <c r="A1" s="3" t="s">
        <v>7</v>
      </c>
      <c r="B1" t="s">
        <v>9</v>
      </c>
      <c r="C1" s="4" t="s">
        <v>8</v>
      </c>
      <c r="D1" s="4" t="s">
        <v>17</v>
      </c>
      <c r="E1" s="1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t="s">
        <v>25</v>
      </c>
      <c r="M1" t="s">
        <v>26</v>
      </c>
    </row>
    <row r="2" spans="1:13" x14ac:dyDescent="0.25">
      <c r="A2" s="3" t="s">
        <v>0</v>
      </c>
      <c r="B2" t="s">
        <v>10</v>
      </c>
      <c r="C2" s="4">
        <v>3412</v>
      </c>
      <c r="D2" s="4">
        <v>60</v>
      </c>
      <c r="E2" s="1">
        <f>D2/60</f>
        <v>1</v>
      </c>
      <c r="F2" s="2">
        <v>80</v>
      </c>
      <c r="G2" s="2">
        <v>100</v>
      </c>
      <c r="H2" s="2">
        <v>120</v>
      </c>
      <c r="I2" s="2">
        <f>C2*F2*E2</f>
        <v>272960</v>
      </c>
      <c r="J2" s="2">
        <f>C2*G2*E2</f>
        <v>341200</v>
      </c>
      <c r="K2" s="2">
        <f>C2*H2*E2</f>
        <v>409440</v>
      </c>
      <c r="L2" t="s">
        <v>27</v>
      </c>
      <c r="M2" t="s">
        <v>29</v>
      </c>
    </row>
    <row r="3" spans="1:13" x14ac:dyDescent="0.25">
      <c r="A3" s="3" t="s">
        <v>1</v>
      </c>
      <c r="B3" t="s">
        <v>11</v>
      </c>
      <c r="C3" s="4">
        <v>5282</v>
      </c>
      <c r="D3" s="4">
        <v>60</v>
      </c>
      <c r="E3" s="1">
        <f t="shared" ref="E3:E8" si="0">D3/60</f>
        <v>1</v>
      </c>
      <c r="F3" s="2">
        <v>80</v>
      </c>
      <c r="G3" s="2">
        <v>100</v>
      </c>
      <c r="H3" s="2">
        <v>120</v>
      </c>
      <c r="I3" s="2">
        <f t="shared" ref="I3:I8" si="1">C3*F3*E3</f>
        <v>422560</v>
      </c>
      <c r="J3" s="2">
        <f t="shared" ref="J3:J8" si="2">C3*G3*E3</f>
        <v>528200</v>
      </c>
      <c r="K3" s="2">
        <f t="shared" ref="K3:K8" si="3">C3*H3*E3</f>
        <v>633840</v>
      </c>
      <c r="L3" t="s">
        <v>27</v>
      </c>
      <c r="M3" t="s">
        <v>29</v>
      </c>
    </row>
    <row r="4" spans="1:13" x14ac:dyDescent="0.25">
      <c r="A4" s="3" t="s">
        <v>2</v>
      </c>
      <c r="B4" t="s">
        <v>12</v>
      </c>
      <c r="C4" s="4">
        <v>35179</v>
      </c>
      <c r="D4" s="4">
        <v>40</v>
      </c>
      <c r="E4" s="1">
        <f t="shared" si="0"/>
        <v>0.66666666666666663</v>
      </c>
      <c r="F4" s="2">
        <v>80</v>
      </c>
      <c r="G4" s="2">
        <v>100</v>
      </c>
      <c r="H4" s="2">
        <v>120</v>
      </c>
      <c r="I4" s="2">
        <f t="shared" si="1"/>
        <v>1876213.3333333333</v>
      </c>
      <c r="J4" s="2">
        <f t="shared" si="2"/>
        <v>2345266.6666666665</v>
      </c>
      <c r="K4" s="2">
        <f t="shared" si="3"/>
        <v>2814320</v>
      </c>
      <c r="L4" t="s">
        <v>28</v>
      </c>
      <c r="M4" t="s">
        <v>29</v>
      </c>
    </row>
    <row r="5" spans="1:13" x14ac:dyDescent="0.25">
      <c r="A5" s="3" t="s">
        <v>3</v>
      </c>
      <c r="B5" t="s">
        <v>13</v>
      </c>
      <c r="C5" s="4">
        <v>6730</v>
      </c>
      <c r="D5" s="4">
        <v>120</v>
      </c>
      <c r="E5" s="1">
        <f t="shared" si="0"/>
        <v>2</v>
      </c>
      <c r="F5" s="2">
        <v>80</v>
      </c>
      <c r="G5" s="2">
        <v>100</v>
      </c>
      <c r="H5" s="2">
        <v>120</v>
      </c>
      <c r="I5" s="2">
        <f t="shared" si="1"/>
        <v>1076800</v>
      </c>
      <c r="J5" s="2">
        <f t="shared" si="2"/>
        <v>1346000</v>
      </c>
      <c r="K5" s="2">
        <f t="shared" si="3"/>
        <v>1615200</v>
      </c>
      <c r="L5" t="s">
        <v>27</v>
      </c>
      <c r="M5" t="s">
        <v>29</v>
      </c>
    </row>
    <row r="6" spans="1:13" x14ac:dyDescent="0.25">
      <c r="A6" s="3" t="s">
        <v>4</v>
      </c>
      <c r="B6" t="s">
        <v>14</v>
      </c>
      <c r="C6" s="4">
        <v>16899</v>
      </c>
      <c r="D6" s="4">
        <v>50</v>
      </c>
      <c r="E6" s="1">
        <f t="shared" si="0"/>
        <v>0.83333333333333337</v>
      </c>
      <c r="F6" s="2">
        <v>80</v>
      </c>
      <c r="G6" s="2">
        <v>100</v>
      </c>
      <c r="H6" s="2">
        <v>120</v>
      </c>
      <c r="I6" s="2">
        <f t="shared" si="1"/>
        <v>1126600</v>
      </c>
      <c r="J6" s="2">
        <f t="shared" si="2"/>
        <v>1408250</v>
      </c>
      <c r="K6" s="2">
        <f t="shared" si="3"/>
        <v>1689900</v>
      </c>
      <c r="L6" t="s">
        <v>27</v>
      </c>
      <c r="M6" t="s">
        <v>29</v>
      </c>
    </row>
    <row r="7" spans="1:13" x14ac:dyDescent="0.25">
      <c r="A7" s="3" t="s">
        <v>5</v>
      </c>
      <c r="B7" t="s">
        <v>15</v>
      </c>
      <c r="C7" s="4">
        <v>25929</v>
      </c>
      <c r="D7" s="4">
        <v>113</v>
      </c>
      <c r="E7" s="1">
        <f t="shared" si="0"/>
        <v>1.8833333333333333</v>
      </c>
      <c r="F7" s="2">
        <v>80</v>
      </c>
      <c r="G7" s="2">
        <v>100</v>
      </c>
      <c r="H7" s="2">
        <v>120</v>
      </c>
      <c r="I7" s="2">
        <f t="shared" si="1"/>
        <v>3906636</v>
      </c>
      <c r="J7" s="2">
        <f t="shared" si="2"/>
        <v>4883295</v>
      </c>
      <c r="K7" s="2">
        <f t="shared" si="3"/>
        <v>5859954</v>
      </c>
      <c r="L7" t="s">
        <v>27</v>
      </c>
      <c r="M7" t="s">
        <v>29</v>
      </c>
    </row>
    <row r="8" spans="1:13" x14ac:dyDescent="0.25">
      <c r="A8" s="3" t="s">
        <v>6</v>
      </c>
      <c r="B8" t="s">
        <v>16</v>
      </c>
      <c r="C8" s="4">
        <v>14597</v>
      </c>
      <c r="D8" s="4">
        <v>60</v>
      </c>
      <c r="E8" s="1">
        <f t="shared" si="0"/>
        <v>1</v>
      </c>
      <c r="F8" s="2">
        <v>80</v>
      </c>
      <c r="G8" s="2">
        <v>100</v>
      </c>
      <c r="H8" s="2">
        <v>120</v>
      </c>
      <c r="I8" s="2">
        <f t="shared" si="1"/>
        <v>1167760</v>
      </c>
      <c r="J8" s="2">
        <f t="shared" si="2"/>
        <v>1459700</v>
      </c>
      <c r="K8" s="2">
        <f t="shared" si="3"/>
        <v>1751640</v>
      </c>
      <c r="L8" t="s">
        <v>27</v>
      </c>
      <c r="M8" t="s">
        <v>29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</dc:creator>
  <cp:lastModifiedBy>Alberto L.A.B.B</cp:lastModifiedBy>
  <dcterms:created xsi:type="dcterms:W3CDTF">2015-06-05T18:19:34Z</dcterms:created>
  <dcterms:modified xsi:type="dcterms:W3CDTF">2026-05-14T22:29:23Z</dcterms:modified>
</cp:coreProperties>
</file>