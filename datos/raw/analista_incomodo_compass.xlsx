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ss Group - Financials" sheetId="1" state="visible" r:id="rId3"/>
    <sheet name="Tabla Maestra - Paradas" sheetId="2" state="visible" r:id="rId4"/>
    <sheet name="Estructura Corporativ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<sst xmlns="http://schemas.openxmlformats.org/spreadsheetml/2006/main" count="231" uniqueCount="171">
  <si>
    <t xml:space="preserve">COMPASS GROUP PLC — ANNUAL REPORT 2025</t>
  </si>
  <si>
    <t xml:space="preserve">Fuente: Compass Group PLC Annual Report 2025 (Fiscal Year ended 30 September 2025)</t>
  </si>
  <si>
    <t xml:space="preserve">1. INGRESOS GLOBALES DEL GRUPO (USD millones)</t>
  </si>
  <si>
    <t xml:space="preserve">Región</t>
  </si>
  <si>
    <t xml:space="preserve">Rev. 2025 ($M)</t>
  </si>
  <si>
    <t xml:space="preserve">Rev. 2024 ($M)</t>
  </si>
  <si>
    <t xml:space="preserve">Crecimiento %</t>
  </si>
  <si>
    <t xml:space="preserve">Margen Op. 2025</t>
  </si>
  <si>
    <t xml:space="preserve">North America</t>
  </si>
  <si>
    <t xml:space="preserve">8.2%</t>
  </si>
  <si>
    <t xml:space="preserve">International</t>
  </si>
  <si>
    <t xml:space="preserve">6.1%</t>
  </si>
  <si>
    <t xml:space="preserve">Total Grupo</t>
  </si>
  <si>
    <t xml:space="preserve">7.2%</t>
  </si>
  <si>
    <t xml:space="preserve">2. INGRESOS POR SECTOR — AÑO 2025 vs 2024 (USD millones)</t>
  </si>
  <si>
    <t xml:space="preserve">Sector</t>
  </si>
  <si>
    <t xml:space="preserve">NA 2025 ($M)</t>
  </si>
  <si>
    <t xml:space="preserve">Intl 2025 ($M)</t>
  </si>
  <si>
    <t xml:space="preserve">Total 2025 ($M)</t>
  </si>
  <si>
    <t xml:space="preserve">Total 2024 ($M)</t>
  </si>
  <si>
    <t xml:space="preserve">Business &amp; Industry</t>
  </si>
  <si>
    <t xml:space="preserve">Healthcare &amp; Senior Living</t>
  </si>
  <si>
    <t xml:space="preserve">Education</t>
  </si>
  <si>
    <t xml:space="preserve">⭐ Sports &amp; Leisure (LEVY)</t>
  </si>
  <si>
    <t xml:space="preserve">Defence, Offshore &amp; Remote</t>
  </si>
  <si>
    <t xml:space="preserve">TOTAL</t>
  </si>
  <si>
    <t xml:space="preserve">3. SPORTS &amp; LEISURE — ANÁLISIS DETALLADO (La división de LEVY)</t>
  </si>
  <si>
    <t xml:space="preserve">Métrica</t>
  </si>
  <si>
    <t xml:space="preserve">Valor</t>
  </si>
  <si>
    <t xml:space="preserve">Contexto</t>
  </si>
  <si>
    <t xml:space="preserve">Ingreso S&amp;L North America 2025</t>
  </si>
  <si>
    <t xml:space="preserve">$4,763M</t>
  </si>
  <si>
    <t xml:space="preserve">15.2% del revenue NA total</t>
  </si>
  <si>
    <t xml:space="preserve">Ingreso S&amp;L International 2025</t>
  </si>
  <si>
    <t xml:space="preserve">$1,758M</t>
  </si>
  <si>
    <t xml:space="preserve">12.0% del revenue Intl total</t>
  </si>
  <si>
    <t xml:space="preserve">Ingreso S&amp;L TOTAL 2025</t>
  </si>
  <si>
    <t xml:space="preserve">$6,521M</t>
  </si>
  <si>
    <t xml:space="preserve">14.1% del revenue global</t>
  </si>
  <si>
    <t xml:space="preserve">Ingreso S&amp;L TOTAL 2024</t>
  </si>
  <si>
    <t xml:space="preserve">$5,876M</t>
  </si>
  <si>
    <t xml:space="preserve">13.9% del revenue global</t>
  </si>
  <si>
    <t xml:space="preserve">Crecimiento YoY 2024→2025</t>
  </si>
  <si>
    <t xml:space="preserve">+11.0%</t>
  </si>
  <si>
    <t xml:space="preserve">El sector creció MÁS que el grupo (8.7%)</t>
  </si>
  <si>
    <t xml:space="preserve">Margen operativo grupo 2025</t>
  </si>
  <si>
    <t xml:space="preserve">Sports &amp; Leisure tiende a margen superior por eventos premium</t>
  </si>
  <si>
    <t xml:space="preserve">Ingreso estimado S&amp;L por día</t>
  </si>
  <si>
    <t xml:space="preserve">~$17.9M</t>
  </si>
  <si>
    <t xml:space="preserve">6,521M dividido entre 365 días</t>
  </si>
  <si>
    <t xml:space="preserve">Ingreso estimado por hora de parada</t>
  </si>
  <si>
    <t xml:space="preserve">~$744K</t>
  </si>
  <si>
    <t xml:space="preserve">17.9M dividido entre 24h — estimado conservador</t>
  </si>
  <si>
    <t xml:space="preserve">4. NOTA PARA EL ANALISTA INCÓMODO</t>
  </si>
  <si>
    <t xml:space="preserve">• Compass Group cotiza en la Bolsa de Londres (ticker: CPG.L) — sus cifras son PÚBLICAS y auditadas.</t>
  </si>
  <si>
    <t xml:space="preserve">• Sports &amp; Leisure creció 11.0% en 2025, superando el crecimiento promedio del grupo (8.7%).</t>
  </si>
  <si>
    <t xml:space="preserve">• LEVY opera bajo Compass Group — sus ingresos en estadios FIFA están consolidados en este reporte.</t>
  </si>
  <si>
    <t xml:space="preserve">• Dato clave: Levy ya tiene contrato para el Mundial 2026 en Atlanta, Kansas City, Seattle y Bay Area.</t>
  </si>
  <si>
    <t xml:space="preserve">• Delaware North (dueño de Sportservice/MetLife) es PRIVADA — no publica estos datos. Asimetría total.</t>
  </si>
  <si>
    <t xml:space="preserve">• El ingreso estimado por hora de parada (~$744K) es SOLO Sports &amp; Leisure de Compass/Levy.</t>
  </si>
  <si>
    <t xml:space="preserve">• Para tu artículo: citar este reporte como fuente primaria — Annual Report 2025, Compass Group PLC.</t>
  </si>
  <si>
    <t xml:space="preserve">Fuente primaria: Compass Group PLC Annual Report 2025 | compass-group.com/investors | Datos en USD millones</t>
  </si>
  <si>
    <t xml:space="preserve">EL ANALISTA INCÓMODO — TABLA MAESTRA: PARADAS POR RAYO EN FÚTBOL PROFESIONAL USA</t>
  </si>
  <si>
    <t xml:space="preserve">Proyecto: ¿Protocolo de seguridad o protocolo de negocio? | Blog: El Analista Incómodo</t>
  </si>
  <si>
    <t xml:space="preserve">#</t>
  </si>
  <si>
    <t xml:space="preserve">Partido</t>
  </si>
  <si>
    <t xml:space="preserve">Estadio</t>
  </si>
  <si>
    <t xml:space="preserve">Ciudad / Estado</t>
  </si>
  <si>
    <t xml:space="preserve">Fecha</t>
  </si>
  <si>
    <t xml:space="preserve">Minuto parada</t>
  </si>
  <si>
    <t xml:space="preserve">Duración (min)</t>
  </si>
  <si>
    <t xml:space="preserve">Operador concesión</t>
  </si>
  <si>
    <t xml:space="preserve">Empresa matriz</t>
  </si>
  <si>
    <t xml:space="preserve">¿Cotiza bolsa?</t>
  </si>
  <si>
    <t xml:space="preserve">Ingresos S&amp;L 2025</t>
  </si>
  <si>
    <t xml:space="preserve">Dato clima NOAA (pendiente)</t>
  </si>
  <si>
    <t xml:space="preserve">Notas / Fuente</t>
  </si>
  <si>
    <t xml:space="preserve">Pachuca vs Salzburgo</t>
  </si>
  <si>
    <t xml:space="preserve">TQL Stadium</t>
  </si>
  <si>
    <t xml:space="preserve">Cincinnati, OH</t>
  </si>
  <si>
    <t xml:space="preserve">Jun 18, 2025</t>
  </si>
  <si>
    <t xml:space="preserve">~45</t>
  </si>
  <si>
    <t xml:space="preserve">~100</t>
  </si>
  <si>
    <t xml:space="preserve">Levy Restaurants</t>
  </si>
  <si>
    <t xml:space="preserve">Compass Group PLC</t>
  </si>
  <si>
    <t xml:space="preserve">SÍ (Londres)</t>
  </si>
  <si>
    <t xml:space="preserve">$6,521M (S&amp;L global)</t>
  </si>
  <si>
    <t xml:space="preserve">PENDIENTE — NOAA CDO</t>
  </si>
  <si>
    <t xml:space="preserve">beIN Sports / Fox Deportes</t>
  </si>
  <si>
    <t xml:space="preserve">Ulsan vs Mamelodi Sundowns</t>
  </si>
  <si>
    <t xml:space="preserve">Inter&amp;Co Stadium</t>
  </si>
  <si>
    <t xml:space="preserve">Orlando, FL</t>
  </si>
  <si>
    <t xml:space="preserve">Jun 15, 2025</t>
  </si>
  <si>
    <t xml:space="preserve">~60</t>
  </si>
  <si>
    <t xml:space="preserve">Por confirmar</t>
  </si>
  <si>
    <t xml:space="preserve">Fox Deportes</t>
  </si>
  <si>
    <t xml:space="preserve">Benfica vs Auckland City</t>
  </si>
  <si>
    <t xml:space="preserve">Jun 19, 2025</t>
  </si>
  <si>
    <t xml:space="preserve">Previa</t>
  </si>
  <si>
    <t xml:space="preserve">~120</t>
  </si>
  <si>
    <t xml:space="preserve">Fox Deportes / beIN Sports</t>
  </si>
  <si>
    <t xml:space="preserve">Palmeiras vs Al-Ahly</t>
  </si>
  <si>
    <t xml:space="preserve">MetLife Stadium</t>
  </si>
  <si>
    <t xml:space="preserve">E. Rutherford, NJ</t>
  </si>
  <si>
    <t xml:space="preserve">60</t>
  </si>
  <si>
    <t xml:space="preserve">Delaware North Sportservice</t>
  </si>
  <si>
    <t xml:space="preserve">Delaware North Inc.</t>
  </si>
  <si>
    <t xml:space="preserve">NO (privada)</t>
  </si>
  <si>
    <t xml:space="preserve">No publicado</t>
  </si>
  <si>
    <t xml:space="preserve">beIN Sports</t>
  </si>
  <si>
    <t xml:space="preserve">Benfica vs Chelsea</t>
  </si>
  <si>
    <t xml:space="preserve">Bank of America Stad.</t>
  </si>
  <si>
    <t xml:space="preserve">Charlotte, NC</t>
  </si>
  <si>
    <t xml:space="preserve">Jun 21, 2025</t>
  </si>
  <si>
    <t xml:space="preserve">86</t>
  </si>
  <si>
    <t xml:space="preserve">~110</t>
  </si>
  <si>
    <t xml:space="preserve">beIN Sports — Maresca 'a joke'</t>
  </si>
  <si>
    <t xml:space="preserve">Boca Juniors vs Auckland City</t>
  </si>
  <si>
    <t xml:space="preserve">Jun 2025</t>
  </si>
  <si>
    <t xml:space="preserve">—</t>
  </si>
  <si>
    <t xml:space="preserve">Nashville SC vs Tigres UANL</t>
  </si>
  <si>
    <t xml:space="preserve">GEODIS Park</t>
  </si>
  <si>
    <t xml:space="preserve">Nashville, TN</t>
  </si>
  <si>
    <t xml:space="preserve">Abr 28, 2026</t>
  </si>
  <si>
    <t xml:space="preserve">Pre-partido</t>
  </si>
  <si>
    <t xml:space="preserve">Concacaf Champions Cup SF</t>
  </si>
  <si>
    <t xml:space="preserve">LEYENDA:  🟡 Amarillo = Levy/Compass (datos públicos)  |  🔴 Rojo = Delaware North (datos privados)  |  ⬜ Blanco = Por confirmar</t>
  </si>
  <si>
    <t xml:space="preserve">PRÓXIMOS PASOS — DATOS A COMPLETAR</t>
  </si>
  <si>
    <t xml:space="preserve">1. NOAA Storm Events DB → ncdc.noaa.gov/stormevents/ → buscar por estado + fecha para cada partido</t>
  </si>
  <si>
    <t xml:space="preserve">2. NOAA CDO → ncei.noaa.gov/cdo-web/search → Local Climatological Data por hora para cada ciudad</t>
  </si>
  <si>
    <t xml:space="preserve">3. Confirmar operador de Inter&amp;Co Stadium (Orlando) y GEODIS Park (Nashville)</t>
  </si>
  <si>
    <t xml:space="preserve">4. Buscar ingresos Delaware North en newsroom: delawarenorth.com/newsroom</t>
  </si>
  <si>
    <t xml:space="preserve">5. Descargar protocolo NWS PDF: weather.gov/media/safety/lightning/Lightning_Safety_Toolkit_Outdoor_Venues.pdf</t>
  </si>
  <si>
    <t xml:space="preserve">MAPA CORPORATIVO — ¿QUIÉN GANA CUANDO PARA EL PARTIDO?</t>
  </si>
  <si>
    <t xml:space="preserve">Nivel</t>
  </si>
  <si>
    <t xml:space="preserve">Entidad</t>
  </si>
  <si>
    <t xml:space="preserve">Tipo</t>
  </si>
  <si>
    <t xml:space="preserve">Sede</t>
  </si>
  <si>
    <t xml:space="preserve">¿Cotiza?</t>
  </si>
  <si>
    <t xml:space="preserve">Relevancia para el artículo</t>
  </si>
  <si>
    <t xml:space="preserve">Matriz 1</t>
  </si>
  <si>
    <t xml:space="preserve">Empresa pública</t>
  </si>
  <si>
    <t xml:space="preserve">Londres, UK</t>
  </si>
  <si>
    <t xml:space="preserve">SÍ — Londres (CPG.L)</t>
  </si>
  <si>
    <t xml:space="preserve">Dueña de Levy. Ingresos públicos auditados.</t>
  </si>
  <si>
    <t xml:space="preserve">Sub. 1.1</t>
  </si>
  <si>
    <t xml:space="preserve">Subsidiaria 100%</t>
  </si>
  <si>
    <t xml:space="preserve">Chicago, IL, USA</t>
  </si>
  <si>
    <t xml:space="preserve">No (filial)</t>
  </si>
  <si>
    <t xml:space="preserve">Opera concesiones en TQL, Charlotte, GEODIS y sedes 2026.</t>
  </si>
  <si>
    <t xml:space="preserve">TQL Stadium — Cincinnati</t>
  </si>
  <si>
    <t xml:space="preserve">Cliente de Levy</t>
  </si>
  <si>
    <t xml:space="preserve">N/A</t>
  </si>
  <si>
    <t xml:space="preserve">Partido suspendido: Pachuca vs Salzburgo — Jun 2025.</t>
  </si>
  <si>
    <t xml:space="preserve">Bank of America Stadium</t>
  </si>
  <si>
    <t xml:space="preserve">Partido suspendido: Benfica vs Chelsea — 110 min. Jun 2025.</t>
  </si>
  <si>
    <t xml:space="preserve">Nashville vs Tigres — Concachampions. Abr 2026.</t>
  </si>
  <si>
    <t xml:space="preserve">Matriz 2</t>
  </si>
  <si>
    <t xml:space="preserve">Delaware North Companies, Inc.</t>
  </si>
  <si>
    <t xml:space="preserve">Empresa PRIVADA</t>
  </si>
  <si>
    <t xml:space="preserve">Buffalo, NY, USA</t>
  </si>
  <si>
    <t xml:space="preserve">NO — sin reporte</t>
  </si>
  <si>
    <t xml:space="preserve">Dueña de Sportservice. No publica ingresos por evento.</t>
  </si>
  <si>
    <t xml:space="preserve">Sub. 2.1</t>
  </si>
  <si>
    <t xml:space="preserve">División</t>
  </si>
  <si>
    <t xml:space="preserve">USA</t>
  </si>
  <si>
    <t xml:space="preserve">No</t>
  </si>
  <si>
    <t xml:space="preserve">Opera MetLife Stadium (New Jersey) — Palmeiras vs Al-Ahly.</t>
  </si>
  <si>
    <t xml:space="preserve">Cliente DN</t>
  </si>
  <si>
    <t xml:space="preserve">Partido suspendido: Palmeiras vs Al-Ahly — min. 60. Jun 2025.</t>
  </si>
  <si>
    <t xml:space="preserve">Fuentes: Compass Group Annual Report 2025 | metlifestadium.com | tqlstadium.com | beinsports.com | concacaf.com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</si>
</sst>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A3"/>
        <bgColor rgb="FF3366FF"/>
      </patternFill>
    </fill>
    <fill>
      <patternFill patternType="solid">
        <fgColor rgb="FFDDEEFF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BDD7EE"/>
        <bgColor rgb="FF99CCFF"/>
      </patternFill>
    </fill>
    <fill>
      <patternFill patternType="solid">
        <fgColor rgb="FFFFF2CC"/>
        <bgColor rgb="FFFFE5E5"/>
      </patternFill>
    </fill>
    <fill>
      <patternFill patternType="solid">
        <fgColor rgb="FFC0392B"/>
        <bgColor rgb="FF993366"/>
      </patternFill>
    </fill>
    <fill>
      <patternFill patternType="solid">
        <fgColor rgb="FFFFE5E5"/>
        <bgColor rgb="FFFFF2CC"/>
      </patternFill>
    </fill>
    <fill>
      <patternFill patternType="solid">
        <fgColor rgb="FFF2F2F2"/>
        <bgColor rgb="FFDDE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9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2CC"/>
      <rgbColor rgb="FFDDEEFF"/>
      <rgbColor rgb="FF660066"/>
      <rgbColor rgb="FFFF8080"/>
      <rgbColor rgb="FF2E5FA3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E5E5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18"/>
    <col collapsed="false" customWidth="true" hidden="false" outlineLevel="0" max="3" min="3" style="1" width="45"/>
    <col collapsed="false" customWidth="true" hidden="false" outlineLevel="0" max="5" min="4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</row>
    <row r="5" customFormat="false" ht="1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true" outlineLevel="0" collapsed="false">
      <c r="A6" s="6" t="s">
        <v>8</v>
      </c>
      <c r="B6" s="7" t="n">
        <v>31417</v>
      </c>
      <c r="C6" s="7" t="n">
        <v>28581</v>
      </c>
      <c r="D6" s="8" t="n">
        <f aca="false">(B6-C6)/C6</f>
        <v>0.099226759035723</v>
      </c>
      <c r="E6" s="9" t="s">
        <v>9</v>
      </c>
    </row>
    <row r="7" customFormat="false" ht="15" hidden="false" customHeight="true" outlineLevel="0" collapsed="false">
      <c r="A7" s="10" t="s">
        <v>10</v>
      </c>
      <c r="B7" s="11" t="n">
        <v>14710</v>
      </c>
      <c r="C7" s="11" t="n">
        <v>13595</v>
      </c>
      <c r="D7" s="12" t="n">
        <f aca="false">(B7-C7)/C7</f>
        <v>0.0820154468554616</v>
      </c>
      <c r="E7" s="13" t="s">
        <v>11</v>
      </c>
    </row>
    <row r="8" customFormat="false" ht="15" hidden="false" customHeight="true" outlineLevel="0" collapsed="false">
      <c r="A8" s="14" t="s">
        <v>12</v>
      </c>
      <c r="B8" s="15" t="n">
        <v>46127</v>
      </c>
      <c r="C8" s="15" t="n">
        <v>42176</v>
      </c>
      <c r="D8" s="16" t="n">
        <f aca="false">(B8-C8)/C8</f>
        <v>0.0936788694992413</v>
      </c>
      <c r="E8" s="17" t="s">
        <v>13</v>
      </c>
    </row>
    <row r="10" customFormat="false" ht="21.75" hidden="false" customHeight="true" outlineLevel="0" collapsed="false">
      <c r="A10" s="4" t="s">
        <v>14</v>
      </c>
      <c r="B10" s="4"/>
      <c r="C10" s="4"/>
      <c r="D10" s="4"/>
      <c r="E10" s="4"/>
    </row>
    <row r="11" customFormat="false" ht="15" hidden="false" customHeight="true" outlineLevel="0" collapsed="false">
      <c r="A11" s="5" t="s">
        <v>15</v>
      </c>
      <c r="B11" s="5" t="s">
        <v>16</v>
      </c>
      <c r="C11" s="5" t="s">
        <v>17</v>
      </c>
      <c r="D11" s="5" t="s">
        <v>18</v>
      </c>
      <c r="E11" s="5" t="s">
        <v>19</v>
      </c>
    </row>
    <row r="12" customFormat="false" ht="15" hidden="false" customHeight="true" outlineLevel="0" collapsed="false">
      <c r="A12" s="10" t="s">
        <v>20</v>
      </c>
      <c r="B12" s="11" t="n">
        <v>11244</v>
      </c>
      <c r="C12" s="11" t="n">
        <v>6702</v>
      </c>
      <c r="D12" s="11" t="n">
        <v>17946</v>
      </c>
      <c r="E12" s="11" t="n">
        <v>15916</v>
      </c>
    </row>
    <row r="13" customFormat="false" ht="15" hidden="false" customHeight="true" outlineLevel="0" collapsed="false">
      <c r="A13" s="6" t="s">
        <v>21</v>
      </c>
      <c r="B13" s="7" t="n">
        <v>8637</v>
      </c>
      <c r="C13" s="7" t="n">
        <v>2108</v>
      </c>
      <c r="D13" s="7" t="n">
        <v>10745</v>
      </c>
      <c r="E13" s="7" t="n">
        <v>9973</v>
      </c>
    </row>
    <row r="14" customFormat="false" ht="15" hidden="false" customHeight="true" outlineLevel="0" collapsed="false">
      <c r="A14" s="10" t="s">
        <v>22</v>
      </c>
      <c r="B14" s="11" t="n">
        <v>6432</v>
      </c>
      <c r="C14" s="11" t="n">
        <v>1901</v>
      </c>
      <c r="D14" s="11" t="n">
        <v>8333</v>
      </c>
      <c r="E14" s="11" t="n">
        <v>7584</v>
      </c>
    </row>
    <row r="15" customFormat="false" ht="15" hidden="false" customHeight="true" outlineLevel="0" collapsed="false">
      <c r="A15" s="18" t="s">
        <v>23</v>
      </c>
      <c r="B15" s="19" t="n">
        <v>4763</v>
      </c>
      <c r="C15" s="19" t="n">
        <v>1758</v>
      </c>
      <c r="D15" s="19" t="n">
        <v>6521</v>
      </c>
      <c r="E15" s="19" t="n">
        <v>5876</v>
      </c>
    </row>
    <row r="16" customFormat="false" ht="15" hidden="false" customHeight="true" outlineLevel="0" collapsed="false">
      <c r="A16" s="6" t="s">
        <v>24</v>
      </c>
      <c r="B16" s="7" t="n">
        <v>341</v>
      </c>
      <c r="C16" s="7" t="n">
        <v>2241</v>
      </c>
      <c r="D16" s="7" t="n">
        <v>2582</v>
      </c>
      <c r="E16" s="7" t="n">
        <v>2827</v>
      </c>
    </row>
    <row r="17" customFormat="false" ht="15" hidden="false" customHeight="true" outlineLevel="0" collapsed="false">
      <c r="A17" s="14" t="s">
        <v>25</v>
      </c>
      <c r="B17" s="15" t="n">
        <v>31417</v>
      </c>
      <c r="C17" s="15" t="n">
        <v>14710</v>
      </c>
      <c r="D17" s="15" t="n">
        <v>46127</v>
      </c>
      <c r="E17" s="15" t="n">
        <v>42176</v>
      </c>
    </row>
    <row r="19" customFormat="false" ht="21.75" hidden="false" customHeight="true" outlineLevel="0" collapsed="false">
      <c r="A19" s="20" t="s">
        <v>26</v>
      </c>
      <c r="B19" s="20"/>
      <c r="C19" s="20"/>
      <c r="D19" s="20"/>
      <c r="E19" s="20"/>
    </row>
    <row r="20" customFormat="false" ht="15" hidden="false" customHeight="true" outlineLevel="0" collapsed="false">
      <c r="A20" s="21" t="s">
        <v>27</v>
      </c>
      <c r="B20" s="21" t="s">
        <v>28</v>
      </c>
      <c r="C20" s="21" t="s">
        <v>29</v>
      </c>
    </row>
    <row r="21" customFormat="false" ht="15" hidden="false" customHeight="true" outlineLevel="0" collapsed="false">
      <c r="A21" s="10" t="s">
        <v>30</v>
      </c>
      <c r="B21" s="22" t="s">
        <v>31</v>
      </c>
      <c r="C21" s="23" t="s">
        <v>32</v>
      </c>
    </row>
    <row r="22" customFormat="false" ht="15" hidden="false" customHeight="true" outlineLevel="0" collapsed="false">
      <c r="A22" s="6" t="s">
        <v>33</v>
      </c>
      <c r="B22" s="24" t="s">
        <v>34</v>
      </c>
      <c r="C22" s="25" t="s">
        <v>35</v>
      </c>
    </row>
    <row r="23" customFormat="false" ht="15" hidden="false" customHeight="true" outlineLevel="0" collapsed="false">
      <c r="A23" s="10" t="s">
        <v>36</v>
      </c>
      <c r="B23" s="22" t="s">
        <v>37</v>
      </c>
      <c r="C23" s="23" t="s">
        <v>38</v>
      </c>
    </row>
    <row r="24" customFormat="false" ht="15" hidden="false" customHeight="true" outlineLevel="0" collapsed="false">
      <c r="A24" s="6" t="s">
        <v>39</v>
      </c>
      <c r="B24" s="24" t="s">
        <v>40</v>
      </c>
      <c r="C24" s="25" t="s">
        <v>41</v>
      </c>
    </row>
    <row r="25" customFormat="false" ht="15" hidden="false" customHeight="true" outlineLevel="0" collapsed="false">
      <c r="A25" s="10" t="s">
        <v>42</v>
      </c>
      <c r="B25" s="22" t="s">
        <v>43</v>
      </c>
      <c r="C25" s="23" t="s">
        <v>44</v>
      </c>
    </row>
    <row r="26" customFormat="false" ht="23.25" hidden="false" customHeight="true" outlineLevel="0" collapsed="false">
      <c r="A26" s="6" t="s">
        <v>45</v>
      </c>
      <c r="B26" s="24" t="s">
        <v>13</v>
      </c>
      <c r="C26" s="25" t="s">
        <v>46</v>
      </c>
    </row>
    <row r="27" customFormat="false" ht="15" hidden="false" customHeight="true" outlineLevel="0" collapsed="false">
      <c r="A27" s="10" t="s">
        <v>47</v>
      </c>
      <c r="B27" s="22" t="s">
        <v>48</v>
      </c>
      <c r="C27" s="23" t="s">
        <v>49</v>
      </c>
    </row>
    <row r="28" customFormat="false" ht="15" hidden="false" customHeight="true" outlineLevel="0" collapsed="false">
      <c r="A28" s="26" t="s">
        <v>50</v>
      </c>
      <c r="B28" s="27" t="s">
        <v>51</v>
      </c>
      <c r="C28" s="28" t="s">
        <v>52</v>
      </c>
    </row>
    <row r="30" customFormat="false" ht="15" hidden="false" customHeight="true" outlineLevel="0" collapsed="false">
      <c r="A30" s="29" t="s">
        <v>53</v>
      </c>
      <c r="B30" s="29"/>
      <c r="C30" s="29"/>
      <c r="D30" s="29"/>
      <c r="E30" s="29"/>
    </row>
    <row r="31" customFormat="false" ht="19.5" hidden="false" customHeight="true" outlineLevel="0" collapsed="false">
      <c r="A31" s="10" t="s">
        <v>54</v>
      </c>
      <c r="B31" s="10"/>
      <c r="C31" s="10"/>
      <c r="D31" s="10"/>
      <c r="E31" s="10"/>
    </row>
    <row r="32" customFormat="false" ht="19.5" hidden="false" customHeight="true" outlineLevel="0" collapsed="false">
      <c r="A32" s="6" t="s">
        <v>55</v>
      </c>
      <c r="B32" s="6"/>
      <c r="C32" s="6"/>
      <c r="D32" s="6"/>
      <c r="E32" s="6"/>
    </row>
    <row r="33" customFormat="false" ht="19.5" hidden="false" customHeight="true" outlineLevel="0" collapsed="false">
      <c r="A33" s="10" t="s">
        <v>56</v>
      </c>
      <c r="B33" s="10"/>
      <c r="C33" s="10"/>
      <c r="D33" s="10"/>
      <c r="E33" s="10"/>
    </row>
    <row r="34" customFormat="false" ht="19.5" hidden="false" customHeight="true" outlineLevel="0" collapsed="false">
      <c r="A34" s="18" t="s">
        <v>57</v>
      </c>
      <c r="B34" s="18"/>
      <c r="C34" s="18"/>
      <c r="D34" s="18"/>
      <c r="E34" s="18"/>
    </row>
    <row r="35" customFormat="false" ht="19.5" hidden="false" customHeight="true" outlineLevel="0" collapsed="false">
      <c r="A35" s="18" t="s">
        <v>58</v>
      </c>
      <c r="B35" s="18"/>
      <c r="C35" s="18"/>
      <c r="D35" s="18"/>
      <c r="E35" s="18"/>
    </row>
    <row r="36" customFormat="false" ht="19.5" hidden="false" customHeight="true" outlineLevel="0" collapsed="false">
      <c r="A36" s="6" t="s">
        <v>59</v>
      </c>
      <c r="B36" s="6"/>
      <c r="C36" s="6"/>
      <c r="D36" s="6"/>
      <c r="E36" s="6"/>
    </row>
    <row r="37" customFormat="false" ht="19.5" hidden="false" customHeight="true" outlineLevel="0" collapsed="false">
      <c r="A37" s="10" t="s">
        <v>60</v>
      </c>
      <c r="B37" s="10"/>
      <c r="C37" s="10"/>
      <c r="D37" s="10"/>
      <c r="E37" s="10"/>
    </row>
    <row r="39" customFormat="false" ht="15" hidden="false" customHeight="true" outlineLevel="0" collapsed="false">
      <c r="A39" s="30" t="s">
        <v>61</v>
      </c>
      <c r="B39" s="30"/>
      <c r="C39" s="30"/>
      <c r="D39" s="30"/>
      <c r="E39" s="30"/>
    </row>
  </sheetData>
  <mergeCells count="14">
    <mergeCell ref="A1:E1"/>
    <mergeCell ref="A2:E2"/>
    <mergeCell ref="A4:E4"/>
    <mergeCell ref="A10:E10"/>
    <mergeCell ref="A19:E19"/>
    <mergeCell ref="A30:E30"/>
    <mergeCell ref="A31:E31"/>
    <mergeCell ref="A32:E32"/>
    <mergeCell ref="A33:E33"/>
    <mergeCell ref="A34:E34"/>
    <mergeCell ref="A35:E35"/>
    <mergeCell ref="A36:E36"/>
    <mergeCell ref="A37:E37"/>
    <mergeCell ref="A39:E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3" min="3" style="1" width="22"/>
    <col collapsed="false" customWidth="true" hidden="false" outlineLevel="0" max="5" min="4" style="1" width="18"/>
    <col collapsed="false" customWidth="true" hidden="false" outlineLevel="0" max="6" min="6" style="1" width="14"/>
    <col collapsed="false" customWidth="true" hidden="false" outlineLevel="0" max="7" min="7" style="1" width="16"/>
    <col collapsed="false" customWidth="true" hidden="false" outlineLevel="0" max="8" min="8" style="1" width="22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22"/>
    <col collapsed="false" customWidth="true" hidden="false" outlineLevel="0" max="13" min="12" style="1" width="28"/>
  </cols>
  <sheetData>
    <row r="1" customFormat="false" ht="27.75" hidden="false" customHeight="true" outlineLevel="0" collapsed="false">
      <c r="A1" s="31" t="s">
        <v>62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</row>
    <row r="2" customFormat="false" ht="15" hidden="false" customHeight="true" outlineLevel="0" collapsed="false">
      <c r="A2" s="3" t="s">
        <v>63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customFormat="false" ht="36" hidden="false" customHeight="true" outlineLevel="0" collapsed="false">
      <c r="A4" s="32" t="s">
        <v>64</v>
      </c>
      <c r="B4" s="32" t="s">
        <v>65</v>
      </c>
      <c r="C4" s="32" t="s">
        <v>66</v>
      </c>
      <c r="D4" s="32" t="s">
        <v>67</v>
      </c>
      <c r="E4" s="32" t="s">
        <v>68</v>
      </c>
      <c r="F4" s="32" t="s">
        <v>69</v>
      </c>
      <c r="G4" s="32" t="s">
        <v>70</v>
      </c>
      <c r="H4" s="32" t="s">
        <v>71</v>
      </c>
      <c r="I4" s="32" t="s">
        <v>72</v>
      </c>
      <c r="J4" s="32" t="s">
        <v>73</v>
      </c>
      <c r="K4" s="32" t="s">
        <v>74</v>
      </c>
      <c r="L4" s="32" t="s">
        <v>75</v>
      </c>
      <c r="M4" s="32" t="s">
        <v>76</v>
      </c>
    </row>
    <row r="5" customFormat="false" ht="21.75" hidden="false" customHeight="true" outlineLevel="0" collapsed="false">
      <c r="A5" s="33" t="n">
        <v>1</v>
      </c>
      <c r="B5" s="34" t="s">
        <v>77</v>
      </c>
      <c r="C5" s="34" t="s">
        <v>78</v>
      </c>
      <c r="D5" s="34" t="s">
        <v>79</v>
      </c>
      <c r="E5" s="34" t="s">
        <v>80</v>
      </c>
      <c r="F5" s="33" t="s">
        <v>81</v>
      </c>
      <c r="G5" s="33" t="s">
        <v>82</v>
      </c>
      <c r="H5" s="34" t="s">
        <v>83</v>
      </c>
      <c r="I5" s="34" t="s">
        <v>84</v>
      </c>
      <c r="J5" s="33" t="s">
        <v>85</v>
      </c>
      <c r="K5" s="34" t="s">
        <v>86</v>
      </c>
      <c r="L5" s="34" t="s">
        <v>87</v>
      </c>
      <c r="M5" s="34" t="s">
        <v>88</v>
      </c>
    </row>
    <row r="6" customFormat="false" ht="21.75" hidden="false" customHeight="true" outlineLevel="0" collapsed="false">
      <c r="A6" s="35" t="n">
        <v>2</v>
      </c>
      <c r="B6" s="36" t="s">
        <v>89</v>
      </c>
      <c r="C6" s="36" t="s">
        <v>90</v>
      </c>
      <c r="D6" s="36" t="s">
        <v>91</v>
      </c>
      <c r="E6" s="36" t="s">
        <v>92</v>
      </c>
      <c r="F6" s="35" t="s">
        <v>93</v>
      </c>
      <c r="G6" s="35" t="s">
        <v>93</v>
      </c>
      <c r="H6" s="36" t="s">
        <v>94</v>
      </c>
      <c r="I6" s="36" t="s">
        <v>94</v>
      </c>
      <c r="J6" s="35" t="s">
        <v>94</v>
      </c>
      <c r="K6" s="36" t="s">
        <v>94</v>
      </c>
      <c r="L6" s="36" t="s">
        <v>87</v>
      </c>
      <c r="M6" s="36" t="s">
        <v>95</v>
      </c>
    </row>
    <row r="7" customFormat="false" ht="21.75" hidden="false" customHeight="true" outlineLevel="0" collapsed="false">
      <c r="A7" s="37" t="n">
        <v>3</v>
      </c>
      <c r="B7" s="38" t="s">
        <v>96</v>
      </c>
      <c r="C7" s="38" t="s">
        <v>90</v>
      </c>
      <c r="D7" s="38" t="s">
        <v>91</v>
      </c>
      <c r="E7" s="38" t="s">
        <v>97</v>
      </c>
      <c r="F7" s="37" t="s">
        <v>98</v>
      </c>
      <c r="G7" s="37" t="s">
        <v>99</v>
      </c>
      <c r="H7" s="38" t="s">
        <v>94</v>
      </c>
      <c r="I7" s="38" t="s">
        <v>94</v>
      </c>
      <c r="J7" s="37" t="s">
        <v>94</v>
      </c>
      <c r="K7" s="38" t="s">
        <v>94</v>
      </c>
      <c r="L7" s="38" t="s">
        <v>87</v>
      </c>
      <c r="M7" s="38" t="s">
        <v>100</v>
      </c>
    </row>
    <row r="8" customFormat="false" ht="21.75" hidden="false" customHeight="true" outlineLevel="0" collapsed="false">
      <c r="A8" s="39" t="n">
        <v>4</v>
      </c>
      <c r="B8" s="40" t="s">
        <v>101</v>
      </c>
      <c r="C8" s="40" t="s">
        <v>102</v>
      </c>
      <c r="D8" s="40" t="s">
        <v>103</v>
      </c>
      <c r="E8" s="40" t="s">
        <v>97</v>
      </c>
      <c r="F8" s="39" t="s">
        <v>104</v>
      </c>
      <c r="G8" s="39" t="s">
        <v>81</v>
      </c>
      <c r="H8" s="40" t="s">
        <v>105</v>
      </c>
      <c r="I8" s="40" t="s">
        <v>106</v>
      </c>
      <c r="J8" s="39" t="s">
        <v>107</v>
      </c>
      <c r="K8" s="40" t="s">
        <v>108</v>
      </c>
      <c r="L8" s="40" t="s">
        <v>87</v>
      </c>
      <c r="M8" s="40" t="s">
        <v>109</v>
      </c>
    </row>
    <row r="9" customFormat="false" ht="21.75" hidden="false" customHeight="true" outlineLevel="0" collapsed="false">
      <c r="A9" s="33" t="n">
        <v>5</v>
      </c>
      <c r="B9" s="34" t="s">
        <v>110</v>
      </c>
      <c r="C9" s="34" t="s">
        <v>111</v>
      </c>
      <c r="D9" s="34" t="s">
        <v>112</v>
      </c>
      <c r="E9" s="34" t="s">
        <v>113</v>
      </c>
      <c r="F9" s="33" t="s">
        <v>114</v>
      </c>
      <c r="G9" s="33" t="s">
        <v>115</v>
      </c>
      <c r="H9" s="34" t="s">
        <v>83</v>
      </c>
      <c r="I9" s="34" t="s">
        <v>84</v>
      </c>
      <c r="J9" s="33" t="s">
        <v>85</v>
      </c>
      <c r="K9" s="34" t="s">
        <v>86</v>
      </c>
      <c r="L9" s="34" t="s">
        <v>87</v>
      </c>
      <c r="M9" s="34" t="s">
        <v>116</v>
      </c>
    </row>
    <row r="10" customFormat="false" ht="21.75" hidden="false" customHeight="true" outlineLevel="0" collapsed="false">
      <c r="A10" s="35" t="n">
        <v>6</v>
      </c>
      <c r="B10" s="36" t="s">
        <v>117</v>
      </c>
      <c r="C10" s="36" t="s">
        <v>94</v>
      </c>
      <c r="D10" s="36" t="s">
        <v>94</v>
      </c>
      <c r="E10" s="36" t="s">
        <v>118</v>
      </c>
      <c r="F10" s="35" t="s">
        <v>119</v>
      </c>
      <c r="G10" s="35" t="s">
        <v>93</v>
      </c>
      <c r="H10" s="36" t="s">
        <v>94</v>
      </c>
      <c r="I10" s="36" t="s">
        <v>94</v>
      </c>
      <c r="J10" s="35" t="s">
        <v>94</v>
      </c>
      <c r="K10" s="36" t="s">
        <v>94</v>
      </c>
      <c r="L10" s="36" t="s">
        <v>87</v>
      </c>
      <c r="M10" s="36" t="s">
        <v>95</v>
      </c>
    </row>
    <row r="11" customFormat="false" ht="21.75" hidden="false" customHeight="true" outlineLevel="0" collapsed="false">
      <c r="A11" s="37" t="n">
        <v>7</v>
      </c>
      <c r="B11" s="38" t="s">
        <v>120</v>
      </c>
      <c r="C11" s="38" t="s">
        <v>121</v>
      </c>
      <c r="D11" s="38" t="s">
        <v>122</v>
      </c>
      <c r="E11" s="38" t="s">
        <v>123</v>
      </c>
      <c r="F11" s="37" t="s">
        <v>124</v>
      </c>
      <c r="G11" s="37" t="s">
        <v>93</v>
      </c>
      <c r="H11" s="38" t="s">
        <v>94</v>
      </c>
      <c r="I11" s="38" t="s">
        <v>94</v>
      </c>
      <c r="J11" s="37" t="s">
        <v>94</v>
      </c>
      <c r="K11" s="38" t="s">
        <v>94</v>
      </c>
      <c r="L11" s="38" t="s">
        <v>87</v>
      </c>
      <c r="M11" s="38" t="s">
        <v>125</v>
      </c>
    </row>
    <row r="13" customFormat="false" ht="15" hidden="false" customHeight="true" outlineLevel="0" collapsed="false">
      <c r="A13" s="41" t="s">
        <v>126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</row>
    <row r="15" customFormat="false" ht="15" hidden="false" customHeight="true" outlineLevel="0" collapsed="false">
      <c r="A15" s="4" t="s">
        <v>127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customFormat="false" ht="18" hidden="false" customHeight="true" outlineLevel="0" collapsed="false">
      <c r="A16" s="42" t="s">
        <v>128</v>
      </c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</row>
    <row r="17" customFormat="false" ht="18" hidden="false" customHeight="true" outlineLevel="0" collapsed="false">
      <c r="A17" s="43" t="s">
        <v>129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</row>
    <row r="18" customFormat="false" ht="18" hidden="false" customHeight="true" outlineLevel="0" collapsed="false">
      <c r="A18" s="42" t="s">
        <v>130</v>
      </c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</row>
    <row r="19" customFormat="false" ht="18" hidden="false" customHeight="true" outlineLevel="0" collapsed="false">
      <c r="A19" s="43" t="s">
        <v>131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 customFormat="false" ht="18" hidden="false" customHeight="true" outlineLevel="0" collapsed="false">
      <c r="A20" s="42" t="s">
        <v>132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</sheetData>
  <mergeCells count="9">
    <mergeCell ref="A1:M1"/>
    <mergeCell ref="A2:M2"/>
    <mergeCell ref="A13:M13"/>
    <mergeCell ref="A15:M15"/>
    <mergeCell ref="A16:M16"/>
    <mergeCell ref="A17:M17"/>
    <mergeCell ref="A18:M18"/>
    <mergeCell ref="A19:M19"/>
    <mergeCell ref="A20:M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6" min="2" style="1" width="22"/>
  </cols>
  <sheetData>
    <row r="1" customFormat="false" ht="27.75" hidden="false" customHeight="true" outlineLevel="0" collapsed="false">
      <c r="A1" s="31" t="s">
        <v>133</v>
      </c>
      <c r="B1" s="31"/>
      <c r="C1" s="31"/>
      <c r="D1" s="31"/>
      <c r="E1" s="31"/>
      <c r="F1" s="31"/>
    </row>
    <row r="3" customFormat="false" ht="15" hidden="false" customHeight="true" outlineLevel="0" collapsed="false">
      <c r="A3" s="5" t="s">
        <v>134</v>
      </c>
      <c r="B3" s="5" t="s">
        <v>135</v>
      </c>
      <c r="C3" s="5" t="s">
        <v>136</v>
      </c>
      <c r="D3" s="5" t="s">
        <v>137</v>
      </c>
      <c r="E3" s="5" t="s">
        <v>138</v>
      </c>
      <c r="F3" s="5" t="s">
        <v>139</v>
      </c>
    </row>
    <row r="4" customFormat="false" ht="15" hidden="false" customHeight="true" outlineLevel="0" collapsed="false">
      <c r="A4" s="44"/>
      <c r="B4" s="44"/>
      <c r="C4" s="44"/>
      <c r="D4" s="44"/>
      <c r="E4" s="44"/>
      <c r="F4" s="44"/>
    </row>
    <row r="5" customFormat="false" ht="15" hidden="false" customHeight="true" outlineLevel="0" collapsed="false">
      <c r="A5" s="44"/>
      <c r="B5" s="44"/>
      <c r="C5" s="44"/>
      <c r="D5" s="44"/>
      <c r="E5" s="44"/>
      <c r="F5" s="44"/>
    </row>
    <row r="6" customFormat="false" ht="15" hidden="false" customHeight="true" outlineLevel="0" collapsed="false">
      <c r="A6" s="44"/>
      <c r="B6" s="44"/>
      <c r="C6" s="44"/>
      <c r="D6" s="44"/>
      <c r="E6" s="44"/>
      <c r="F6" s="44"/>
    </row>
    <row r="7" customFormat="false" ht="24" hidden="false" customHeight="true" outlineLevel="0" collapsed="false">
      <c r="A7" s="45" t="s">
        <v>140</v>
      </c>
      <c r="B7" s="45" t="s">
        <v>84</v>
      </c>
      <c r="C7" s="45" t="s">
        <v>141</v>
      </c>
      <c r="D7" s="45" t="s">
        <v>142</v>
      </c>
      <c r="E7" s="45" t="s">
        <v>143</v>
      </c>
      <c r="F7" s="45" t="s">
        <v>144</v>
      </c>
    </row>
    <row r="8" customFormat="false" ht="24" hidden="false" customHeight="true" outlineLevel="0" collapsed="false">
      <c r="A8" s="46" t="s">
        <v>145</v>
      </c>
      <c r="B8" s="46" t="s">
        <v>83</v>
      </c>
      <c r="C8" s="46" t="s">
        <v>146</v>
      </c>
      <c r="D8" s="46" t="s">
        <v>147</v>
      </c>
      <c r="E8" s="46" t="s">
        <v>148</v>
      </c>
      <c r="F8" s="46" t="s">
        <v>149</v>
      </c>
    </row>
    <row r="9" customFormat="false" ht="24" hidden="false" customHeight="true" outlineLevel="0" collapsed="false">
      <c r="A9" s="47" t="s">
        <v>66</v>
      </c>
      <c r="B9" s="47" t="s">
        <v>150</v>
      </c>
      <c r="C9" s="47" t="s">
        <v>151</v>
      </c>
      <c r="D9" s="47" t="s">
        <v>79</v>
      </c>
      <c r="E9" s="47" t="s">
        <v>152</v>
      </c>
      <c r="F9" s="47" t="s">
        <v>153</v>
      </c>
    </row>
    <row r="10" customFormat="false" ht="24" hidden="false" customHeight="true" outlineLevel="0" collapsed="false">
      <c r="A10" s="48" t="s">
        <v>66</v>
      </c>
      <c r="B10" s="48" t="s">
        <v>154</v>
      </c>
      <c r="C10" s="48" t="s">
        <v>151</v>
      </c>
      <c r="D10" s="48" t="s">
        <v>112</v>
      </c>
      <c r="E10" s="48" t="s">
        <v>152</v>
      </c>
      <c r="F10" s="48" t="s">
        <v>155</v>
      </c>
    </row>
    <row r="11" customFormat="false" ht="24" hidden="false" customHeight="true" outlineLevel="0" collapsed="false">
      <c r="A11" s="47" t="s">
        <v>66</v>
      </c>
      <c r="B11" s="47" t="s">
        <v>121</v>
      </c>
      <c r="C11" s="47" t="s">
        <v>151</v>
      </c>
      <c r="D11" s="47" t="s">
        <v>122</v>
      </c>
      <c r="E11" s="47" t="s">
        <v>152</v>
      </c>
      <c r="F11" s="47" t="s">
        <v>156</v>
      </c>
    </row>
    <row r="12" customFormat="false" ht="24" hidden="false" customHeight="true" outlineLevel="0" collapsed="false">
      <c r="A12" s="49" t="s">
        <v>119</v>
      </c>
      <c r="B12" s="49" t="s">
        <v>119</v>
      </c>
      <c r="C12" s="49" t="s">
        <v>119</v>
      </c>
      <c r="D12" s="49" t="s">
        <v>119</v>
      </c>
      <c r="E12" s="49" t="s">
        <v>119</v>
      </c>
      <c r="F12" s="49" t="s">
        <v>119</v>
      </c>
    </row>
    <row r="13" customFormat="false" ht="24" hidden="false" customHeight="true" outlineLevel="0" collapsed="false">
      <c r="A13" s="50" t="s">
        <v>157</v>
      </c>
      <c r="B13" s="50" t="s">
        <v>158</v>
      </c>
      <c r="C13" s="50" t="s">
        <v>159</v>
      </c>
      <c r="D13" s="50" t="s">
        <v>160</v>
      </c>
      <c r="E13" s="50" t="s">
        <v>161</v>
      </c>
      <c r="F13" s="50" t="s">
        <v>162</v>
      </c>
    </row>
    <row r="14" customFormat="false" ht="24" hidden="false" customHeight="true" outlineLevel="0" collapsed="false">
      <c r="A14" s="51" t="s">
        <v>163</v>
      </c>
      <c r="B14" s="51" t="s">
        <v>105</v>
      </c>
      <c r="C14" s="51" t="s">
        <v>164</v>
      </c>
      <c r="D14" s="51" t="s">
        <v>165</v>
      </c>
      <c r="E14" s="51" t="s">
        <v>166</v>
      </c>
      <c r="F14" s="51" t="s">
        <v>167</v>
      </c>
    </row>
    <row r="15" customFormat="false" ht="24" hidden="false" customHeight="true" outlineLevel="0" collapsed="false">
      <c r="A15" s="47" t="s">
        <v>66</v>
      </c>
      <c r="B15" s="47" t="s">
        <v>102</v>
      </c>
      <c r="C15" s="47" t="s">
        <v>168</v>
      </c>
      <c r="D15" s="47" t="s">
        <v>103</v>
      </c>
      <c r="E15" s="47" t="s">
        <v>152</v>
      </c>
      <c r="F15" s="47" t="s">
        <v>169</v>
      </c>
    </row>
    <row r="17" customFormat="false" ht="15" hidden="false" customHeight="true" outlineLevel="0" collapsed="false">
      <c r="A17" s="30" t="s">
        <v>170</v>
      </c>
      <c r="B17" s="30"/>
      <c r="C17" s="30"/>
      <c r="D17" s="30"/>
      <c r="E17" s="30"/>
      <c r="F17" s="30"/>
    </row>
  </sheetData>
  <mergeCells count="2">
    <mergeCell ref="A1:F1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2026-05-06T00:26:36Z</dcterms:created>
  <dc:creator>openpyxl</dc:creator>
  <dc:description/>
  <dc:language>en-US</dc:language>
  <cp:lastModifiedBy/>
  <dcterms:modified xsi:type="dcterms:W3CDTF">2026-05-06T00:26:58Z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